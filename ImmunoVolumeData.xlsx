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ell\Documents\Reed\THESIS\ImmunoData\"/>
    </mc:Choice>
  </mc:AlternateContent>
  <xr:revisionPtr revIDLastSave="0" documentId="13_ncr:1_{DAE31737-0E26-49CD-8C7A-FE5709CC3CE8}" xr6:coauthVersionLast="47" xr6:coauthVersionMax="47" xr10:uidLastSave="{00000000-0000-0000-0000-000000000000}"/>
  <bookViews>
    <workbookView xWindow="28680" yWindow="-6750" windowWidth="38640" windowHeight="21120" xr2:uid="{0DF2E546-B421-44CF-BB79-554193EAFF87}"/>
  </bookViews>
  <sheets>
    <sheet name="Sheet1" sheetId="1" r:id="rId1"/>
  </sheets>
  <definedNames>
    <definedName name="_xlchart.v1.0" hidden="1">Sheet1!$G$2:$G$36</definedName>
    <definedName name="_xlchart.v1.1" hidden="1">Sheet1!$H$1</definedName>
    <definedName name="_xlchart.v1.10" hidden="1">Sheet1!$W$4</definedName>
    <definedName name="_xlchart.v1.11" hidden="1">Sheet1!$W$5:$W$58</definedName>
    <definedName name="_xlchart.v1.12" hidden="1">Sheet1!$G$2:$G$36</definedName>
    <definedName name="_xlchart.v1.13" hidden="1">Sheet1!$H$1</definedName>
    <definedName name="_xlchart.v1.14" hidden="1">Sheet1!$H$2:$H$36</definedName>
    <definedName name="_xlchart.v1.15" hidden="1">Sheet1!$I$1</definedName>
    <definedName name="_xlchart.v1.16" hidden="1">Sheet1!$I$2:$I$36</definedName>
    <definedName name="_xlchart.v1.17" hidden="1">Sheet1!$U$5:$U$58</definedName>
    <definedName name="_xlchart.v1.18" hidden="1">Sheet1!$U$5:$U$7</definedName>
    <definedName name="_xlchart.v1.19" hidden="1">Sheet1!$V$4</definedName>
    <definedName name="_xlchart.v1.2" hidden="1">Sheet1!$H$2:$H$36</definedName>
    <definedName name="_xlchart.v1.20" hidden="1">Sheet1!$V$5:$V$58</definedName>
    <definedName name="_xlchart.v1.21" hidden="1">Sheet1!$V$5:$V$7</definedName>
    <definedName name="_xlchart.v1.22" hidden="1">Sheet1!$W$4</definedName>
    <definedName name="_xlchart.v1.23" hidden="1">Sheet1!$W$5:$W$58</definedName>
    <definedName name="_xlchart.v1.24" hidden="1">Sheet1!$G$2:$G$36</definedName>
    <definedName name="_xlchart.v1.25" hidden="1">Sheet1!$H$1</definedName>
    <definedName name="_xlchart.v1.26" hidden="1">Sheet1!$H$2:$H$36</definedName>
    <definedName name="_xlchart.v1.27" hidden="1">Sheet1!$I$1</definedName>
    <definedName name="_xlchart.v1.28" hidden="1">Sheet1!$I$2:$I$36</definedName>
    <definedName name="_xlchart.v1.29" hidden="1">Sheet1!$U$5:$U$58</definedName>
    <definedName name="_xlchart.v1.3" hidden="1">Sheet1!$I$1</definedName>
    <definedName name="_xlchart.v1.30" hidden="1">Sheet1!$U$5:$U$7</definedName>
    <definedName name="_xlchart.v1.31" hidden="1">Sheet1!$V$4</definedName>
    <definedName name="_xlchart.v1.32" hidden="1">Sheet1!$V$5:$V$58</definedName>
    <definedName name="_xlchart.v1.33" hidden="1">Sheet1!$V$5:$V$7</definedName>
    <definedName name="_xlchart.v1.34" hidden="1">Sheet1!$W$4</definedName>
    <definedName name="_xlchart.v1.35" hidden="1">Sheet1!$W$5:$W$58</definedName>
    <definedName name="_xlchart.v1.4" hidden="1">Sheet1!$I$2:$I$36</definedName>
    <definedName name="_xlchart.v1.5" hidden="1">Sheet1!$U$5:$U$58</definedName>
    <definedName name="_xlchart.v1.6" hidden="1">Sheet1!$U$5:$U$7</definedName>
    <definedName name="_xlchart.v1.7" hidden="1">Sheet1!$V$4</definedName>
    <definedName name="_xlchart.v1.8" hidden="1">Sheet1!$V$5:$V$58</definedName>
    <definedName name="_xlchart.v1.9" hidden="1">Sheet1!$V$5:$V$7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0" i="1" l="1"/>
  <c r="H40" i="1"/>
  <c r="H39" i="1"/>
  <c r="I39" i="1"/>
  <c r="I38" i="1"/>
  <c r="H38" i="1"/>
</calcChain>
</file>

<file path=xl/sharedStrings.xml><?xml version="1.0" encoding="utf-8"?>
<sst xmlns="http://schemas.openxmlformats.org/spreadsheetml/2006/main" count="209" uniqueCount="13">
  <si>
    <t>Age</t>
  </si>
  <si>
    <t>Fish #</t>
  </si>
  <si>
    <t>Mutant</t>
  </si>
  <si>
    <t>Surface Volume (μm^3)</t>
  </si>
  <si>
    <t>4.5 dpf</t>
  </si>
  <si>
    <t>Yes</t>
  </si>
  <si>
    <t>No</t>
  </si>
  <si>
    <t>3.5 dpf</t>
  </si>
  <si>
    <t>Average</t>
  </si>
  <si>
    <t>StDev</t>
  </si>
  <si>
    <t>StError</t>
  </si>
  <si>
    <t>Homozygous mutant</t>
  </si>
  <si>
    <t>Heterozygous or nonmutant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</si>
</sst>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2C481F"/>
      <name val="Roboto"/>
    </font>
    <font>
      <sz val="10"/>
      <color rgb="FF434343"/>
      <name val="Roboto"/>
    </font>
    <font>
      <sz val="10"/>
      <color rgb="FF383A3C"/>
      <name val="Roboto"/>
    </font>
    <font>
      <sz val="10"/>
      <color rgb="FF4C535E"/>
      <name val="Roboto"/>
    </font>
    <font>
      <sz val="10"/>
      <color rgb="FF2A3243"/>
      <name val="Roboto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B7E1CD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B7E1CD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right" vertical="center" wrapText="1"/>
    </xf>
    <xf numFmtId="0" fontId="4" fillId="4" borderId="6" xfId="0" applyFont="1" applyFill="1" applyBorder="1" applyAlignment="1">
      <alignment vertical="center" wrapText="1"/>
    </xf>
    <xf numFmtId="4" fontId="3" fillId="3" borderId="7" xfId="0" applyNumberFormat="1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vertical="center" wrapText="1"/>
    </xf>
    <xf numFmtId="0" fontId="3" fillId="5" borderId="11" xfId="0" applyFont="1" applyFill="1" applyBorder="1" applyAlignment="1">
      <alignment horizontal="right" vertical="center" wrapText="1"/>
    </xf>
    <xf numFmtId="0" fontId="5" fillId="5" borderId="12" xfId="0" applyFont="1" applyFill="1" applyBorder="1" applyAlignment="1">
      <alignment vertical="center" wrapText="1"/>
    </xf>
    <xf numFmtId="0" fontId="3" fillId="3" borderId="13" xfId="0" applyFont="1" applyFill="1" applyBorder="1" applyAlignment="1">
      <alignment horizontal="right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_xlchart.v1.8</cx:f>
      </cx:numDim>
    </cx:data>
    <cx:data id="1">
      <cx:strDim type="cat">
        <cx:f>_xlchart.v1.5</cx:f>
      </cx:strDim>
      <cx:numDim type="val">
        <cx:f>_xlchart.v1.11</cx:f>
      </cx:numDim>
    </cx:data>
  </cx:chartData>
  <cx:chart>
    <cx:plotArea>
      <cx:plotAreaRegion>
        <cx:series layoutId="boxWhisker" uniqueId="{DAD38540-49B7-4ED8-9C92-43905DC7AC06}">
          <cx:tx>
            <cx:txData>
              <cx:f>_xlchart.v1.7</cx:f>
              <cx:v>Homozygous mutant</cx:v>
            </cx:txData>
          </cx:tx>
          <cx:dataId val="0"/>
          <cx:layoutPr>
            <cx:visibility meanLine="0" nonoutliers="1"/>
            <cx:statistics quartileMethod="exclusive"/>
          </cx:layoutPr>
        </cx:series>
        <cx:series layoutId="boxWhisker" uniqueId="{65147C98-A710-4084-BE56-005D08B28AEA}">
          <cx:tx>
            <cx:txData>
              <cx:f>_xlchart.v1.10</cx:f>
              <cx:v>Heterozygous or nonmutant</cx:v>
            </cx:txData>
          </cx:tx>
          <cx:dataId val="1"/>
          <cx:layoutPr>
            <cx:statistics quartileMethod="exclusive"/>
          </cx:layoutPr>
        </cx:series>
      </cx:plotAreaRegion>
      <cx:axis id="0">
        <cx:catScaling gapWidth="1"/>
        <cx:title>
          <cx:tx>
            <cx:txData>
              <cx:v>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 b="1" i="0" baseline="0">
                  <a:solidFill>
                    <a:schemeClr val="tx1"/>
                  </a:solidFill>
                  <a:latin typeface="Times New Roman" panose="02020603050405020304" pitchFamily="18" charset="0"/>
                </a:defRPr>
              </a:pPr>
              <a:r>
                <a:rPr lang="en-US" sz="1400" b="1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</a:rPr>
                <a:t>Age</a:t>
              </a:r>
            </a:p>
          </cx:txPr>
        </cx:title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aseline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</a:defRPr>
            </a:pPr>
            <a:endParaRPr lang="en-US" sz="1000" b="0" i="0" u="none" strike="noStrike" baseline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 b="1" i="0" baseline="0">
                    <a:solidFill>
                      <a:schemeClr val="tx1"/>
                    </a:solidFill>
                    <a:latin typeface="Times New Roman" panose="02020603050405020304" pitchFamily="18" charset="0"/>
                  </a:defRPr>
                </a:pPr>
                <a:r>
                  <a:rPr lang="en-US" sz="1400" b="1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Volume (</a:t>
                </a:r>
                <a:r>
                  <a:rPr lang="el-GR" sz="1400" b="1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μ</a:t>
                </a:r>
                <a:r>
                  <a:rPr lang="en-US" sz="1400" b="1" i="0" u="none" strike="noStrike" baseline="0">
                    <a:solidFill>
                      <a:schemeClr val="tx1"/>
                    </a:solidFill>
                    <a:latin typeface="Times New Roman" panose="02020603050405020304" pitchFamily="18" charset="0"/>
                  </a:rPr>
                  <a:t>m^3)</a:t>
                </a:r>
              </a:p>
            </cx:rich>
          </cx:tx>
          <cx:spPr>
            <a:ln w="47625">
              <a:noFill/>
            </a:ln>
          </cx:spPr>
        </cx:title>
        <cx:majorGridlines>
          <cx:spPr>
            <a:ln w="0">
              <a:solidFill>
                <a:schemeClr val="tx1"/>
              </a:solidFill>
            </a:ln>
          </cx:spPr>
        </cx:majorGridlines>
        <cx:tickLabels/>
        <cx:numFmt formatCode="#,##0.0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 baseline="0">
                <a:latin typeface="Times New Roman" panose="02020603050405020304" pitchFamily="18" charset="0"/>
              </a:defRPr>
            </a:pPr>
            <a:endParaRPr lang="en-US" sz="1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 baseline="0">
              <a:latin typeface="Times New Roman" panose="02020603050405020304" pitchFamily="18" charset="0"/>
            </a:defRPr>
          </a:pPr>
          <a:endParaRPr lang="en-US" sz="10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Times New Roman" panose="02020603050405020304" pitchFamily="18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3</xdr:row>
      <xdr:rowOff>131445</xdr:rowOff>
    </xdr:from>
    <xdr:to>
      <xdr:col>19</xdr:col>
      <xdr:colOff>93345</xdr:colOff>
      <xdr:row>41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FEF1BC9-EF52-60E2-F435-04BFDFA09D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9525" y="702945"/>
              <a:ext cx="5398770" cy="7275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D044-1A36-4199-BF76-5BDE1999DFE7}">
  <dimension ref="A1:W58"/>
  <sheetViews>
    <sheetView tabSelected="1" workbookViewId="0">
      <selection activeCell="M42" sqref="M42"/>
    </sheetView>
  </sheetViews>
  <sheetFormatPr defaultRowHeight="14.4" x14ac:dyDescent="0.3"/>
  <cols>
    <col min="3" max="3" width="22.21875" customWidth="1"/>
    <col min="4" max="4" width="11.5546875" customWidth="1"/>
    <col min="8" max="8" width="10.109375" customWidth="1"/>
    <col min="9" max="9" width="11.44140625" customWidth="1"/>
    <col min="22" max="22" width="20" customWidth="1"/>
    <col min="23" max="23" width="24.5546875" customWidth="1"/>
  </cols>
  <sheetData>
    <row r="1" spans="1:23" ht="15" thickBot="1" x14ac:dyDescent="0.35">
      <c r="A1" s="1" t="s">
        <v>0</v>
      </c>
      <c r="B1" s="2" t="s">
        <v>2</v>
      </c>
      <c r="C1" s="3" t="s">
        <v>3</v>
      </c>
      <c r="D1" s="2" t="s">
        <v>1</v>
      </c>
      <c r="G1" t="s">
        <v>2</v>
      </c>
      <c r="H1" t="s">
        <v>7</v>
      </c>
      <c r="I1" t="s">
        <v>4</v>
      </c>
    </row>
    <row r="2" spans="1:23" ht="15" thickBot="1" x14ac:dyDescent="0.35">
      <c r="A2" s="4" t="s">
        <v>4</v>
      </c>
      <c r="B2" s="6" t="s">
        <v>5</v>
      </c>
      <c r="C2" s="7">
        <v>257000</v>
      </c>
      <c r="D2" s="5">
        <v>1</v>
      </c>
      <c r="G2" t="s">
        <v>11</v>
      </c>
      <c r="H2" s="7">
        <v>5940</v>
      </c>
      <c r="I2" s="7">
        <v>257000</v>
      </c>
    </row>
    <row r="3" spans="1:23" ht="15" thickBot="1" x14ac:dyDescent="0.35">
      <c r="A3" s="8" t="s">
        <v>4</v>
      </c>
      <c r="B3" s="10" t="s">
        <v>6</v>
      </c>
      <c r="C3" s="7">
        <v>343000</v>
      </c>
      <c r="D3" s="9">
        <v>2</v>
      </c>
      <c r="G3" t="s">
        <v>11</v>
      </c>
      <c r="H3" s="7">
        <v>11800</v>
      </c>
      <c r="I3" s="7">
        <v>64900</v>
      </c>
    </row>
    <row r="4" spans="1:23" ht="15" thickBot="1" x14ac:dyDescent="0.35">
      <c r="A4" s="4" t="s">
        <v>4</v>
      </c>
      <c r="B4" s="11" t="s">
        <v>6</v>
      </c>
      <c r="C4" s="7">
        <v>200000</v>
      </c>
      <c r="D4" s="5">
        <v>3</v>
      </c>
      <c r="G4" t="s">
        <v>11</v>
      </c>
      <c r="H4" s="15">
        <v>517</v>
      </c>
      <c r="I4" s="7">
        <v>146000</v>
      </c>
      <c r="V4" t="s">
        <v>11</v>
      </c>
      <c r="W4" t="s">
        <v>12</v>
      </c>
    </row>
    <row r="5" spans="1:23" ht="15" thickBot="1" x14ac:dyDescent="0.35">
      <c r="A5" s="8" t="s">
        <v>4</v>
      </c>
      <c r="B5" s="12" t="s">
        <v>5</v>
      </c>
      <c r="C5" s="7">
        <v>64900</v>
      </c>
      <c r="D5" s="9">
        <v>4</v>
      </c>
      <c r="G5" t="s">
        <v>11</v>
      </c>
      <c r="H5" s="7">
        <v>3277</v>
      </c>
      <c r="I5" s="7">
        <v>115000</v>
      </c>
      <c r="U5" s="4" t="s">
        <v>4</v>
      </c>
      <c r="V5" s="7">
        <v>257000</v>
      </c>
      <c r="W5" s="7">
        <v>343000</v>
      </c>
    </row>
    <row r="6" spans="1:23" ht="15" thickBot="1" x14ac:dyDescent="0.35">
      <c r="A6" s="4" t="s">
        <v>4</v>
      </c>
      <c r="B6" s="6" t="s">
        <v>5</v>
      </c>
      <c r="C6" s="7">
        <v>146000</v>
      </c>
      <c r="D6" s="5">
        <v>5</v>
      </c>
      <c r="G6" t="s">
        <v>11</v>
      </c>
      <c r="H6" s="7">
        <v>5686</v>
      </c>
      <c r="I6" s="7">
        <v>5387</v>
      </c>
      <c r="U6" s="8" t="s">
        <v>4</v>
      </c>
      <c r="V6" s="7">
        <v>64900</v>
      </c>
      <c r="W6" s="7">
        <v>200000</v>
      </c>
    </row>
    <row r="7" spans="1:23" ht="15" thickBot="1" x14ac:dyDescent="0.35">
      <c r="A7" s="8" t="s">
        <v>4</v>
      </c>
      <c r="B7" s="10" t="s">
        <v>6</v>
      </c>
      <c r="C7" s="7">
        <v>92700</v>
      </c>
      <c r="D7" s="9">
        <v>6</v>
      </c>
      <c r="G7" t="s">
        <v>11</v>
      </c>
      <c r="H7" s="7">
        <v>3792</v>
      </c>
      <c r="U7" s="4" t="s">
        <v>4</v>
      </c>
      <c r="V7" s="7">
        <v>146000</v>
      </c>
      <c r="W7" s="7">
        <v>92700</v>
      </c>
    </row>
    <row r="8" spans="1:23" ht="15" thickBot="1" x14ac:dyDescent="0.35">
      <c r="A8" s="4" t="s">
        <v>4</v>
      </c>
      <c r="B8" s="11" t="s">
        <v>6</v>
      </c>
      <c r="C8" s="7">
        <v>197000</v>
      </c>
      <c r="D8" s="5">
        <v>7</v>
      </c>
      <c r="G8" t="s">
        <v>11</v>
      </c>
      <c r="H8" s="7">
        <v>6865</v>
      </c>
      <c r="U8" s="8" t="s">
        <v>4</v>
      </c>
      <c r="V8" s="7">
        <v>115000</v>
      </c>
      <c r="W8" s="7">
        <v>197000</v>
      </c>
    </row>
    <row r="9" spans="1:23" ht="15" thickBot="1" x14ac:dyDescent="0.35">
      <c r="A9" s="8" t="s">
        <v>4</v>
      </c>
      <c r="B9" s="10" t="s">
        <v>6</v>
      </c>
      <c r="C9" s="7">
        <v>84200</v>
      </c>
      <c r="D9" s="9">
        <v>8</v>
      </c>
      <c r="G9" t="s">
        <v>12</v>
      </c>
      <c r="H9" s="7">
        <v>10500</v>
      </c>
      <c r="I9" s="7">
        <v>343000</v>
      </c>
      <c r="U9" s="4" t="s">
        <v>4</v>
      </c>
      <c r="V9" s="7">
        <v>5387</v>
      </c>
      <c r="W9" s="7">
        <v>84200</v>
      </c>
    </row>
    <row r="10" spans="1:23" ht="15" thickBot="1" x14ac:dyDescent="0.35">
      <c r="A10" s="4" t="s">
        <v>4</v>
      </c>
      <c r="B10" s="11" t="s">
        <v>6</v>
      </c>
      <c r="C10" s="7">
        <v>82200</v>
      </c>
      <c r="D10" s="5">
        <v>9</v>
      </c>
      <c r="G10" t="s">
        <v>12</v>
      </c>
      <c r="H10" s="7">
        <v>3689</v>
      </c>
      <c r="I10" s="7">
        <v>200000</v>
      </c>
      <c r="U10" s="8" t="s">
        <v>4</v>
      </c>
      <c r="W10" s="7">
        <v>82200</v>
      </c>
    </row>
    <row r="11" spans="1:23" ht="15" thickBot="1" x14ac:dyDescent="0.35">
      <c r="A11" s="8" t="s">
        <v>4</v>
      </c>
      <c r="B11" s="10" t="s">
        <v>6</v>
      </c>
      <c r="C11" s="7">
        <v>97000</v>
      </c>
      <c r="D11" s="9">
        <v>10</v>
      </c>
      <c r="G11" t="s">
        <v>12</v>
      </c>
      <c r="H11" s="7">
        <v>3674</v>
      </c>
      <c r="I11" s="7">
        <v>92700</v>
      </c>
      <c r="U11" s="4" t="s">
        <v>4</v>
      </c>
      <c r="W11" s="7">
        <v>97000</v>
      </c>
    </row>
    <row r="12" spans="1:23" ht="15" thickBot="1" x14ac:dyDescent="0.35">
      <c r="A12" s="4" t="s">
        <v>4</v>
      </c>
      <c r="B12" s="6" t="s">
        <v>5</v>
      </c>
      <c r="C12" s="7">
        <v>115000</v>
      </c>
      <c r="D12" s="5">
        <v>11</v>
      </c>
      <c r="G12" t="s">
        <v>12</v>
      </c>
      <c r="H12" s="15">
        <v>824</v>
      </c>
      <c r="I12" s="7">
        <v>197000</v>
      </c>
      <c r="U12" s="8" t="s">
        <v>4</v>
      </c>
      <c r="W12" s="7">
        <v>176000</v>
      </c>
    </row>
    <row r="13" spans="1:23" ht="15" thickBot="1" x14ac:dyDescent="0.35">
      <c r="A13" s="8" t="s">
        <v>4</v>
      </c>
      <c r="B13" s="10" t="s">
        <v>6</v>
      </c>
      <c r="C13" s="7">
        <v>176000</v>
      </c>
      <c r="D13" s="9">
        <v>12</v>
      </c>
      <c r="G13" t="s">
        <v>12</v>
      </c>
      <c r="H13" s="7">
        <v>12300</v>
      </c>
      <c r="I13" s="7">
        <v>84200</v>
      </c>
      <c r="U13" s="4" t="s">
        <v>4</v>
      </c>
      <c r="W13" s="7">
        <v>44400</v>
      </c>
    </row>
    <row r="14" spans="1:23" ht="15" thickBot="1" x14ac:dyDescent="0.35">
      <c r="A14" s="4" t="s">
        <v>4</v>
      </c>
      <c r="B14" s="11" t="s">
        <v>6</v>
      </c>
      <c r="C14" s="7">
        <v>44400</v>
      </c>
      <c r="D14" s="5">
        <v>13</v>
      </c>
      <c r="G14" t="s">
        <v>12</v>
      </c>
      <c r="H14" s="7">
        <v>11200</v>
      </c>
      <c r="I14" s="7">
        <v>82200</v>
      </c>
      <c r="U14" s="8" t="s">
        <v>4</v>
      </c>
      <c r="W14" s="7">
        <v>249000</v>
      </c>
    </row>
    <row r="15" spans="1:23" ht="15" thickBot="1" x14ac:dyDescent="0.35">
      <c r="A15" s="8" t="s">
        <v>4</v>
      </c>
      <c r="B15" s="10" t="s">
        <v>6</v>
      </c>
      <c r="C15" s="7">
        <v>249000</v>
      </c>
      <c r="D15" s="9">
        <v>14</v>
      </c>
      <c r="G15" t="s">
        <v>12</v>
      </c>
      <c r="H15" s="7">
        <v>13600</v>
      </c>
      <c r="I15" s="7">
        <v>97000</v>
      </c>
      <c r="U15" s="4" t="s">
        <v>4</v>
      </c>
      <c r="W15" s="7">
        <v>351000</v>
      </c>
    </row>
    <row r="16" spans="1:23" ht="15" thickBot="1" x14ac:dyDescent="0.35">
      <c r="A16" s="4" t="s">
        <v>4</v>
      </c>
      <c r="B16" s="11" t="s">
        <v>6</v>
      </c>
      <c r="C16" s="7">
        <v>351000</v>
      </c>
      <c r="D16" s="5">
        <v>15</v>
      </c>
      <c r="G16" t="s">
        <v>12</v>
      </c>
      <c r="H16" s="7">
        <v>19600</v>
      </c>
      <c r="I16" s="7">
        <v>176000</v>
      </c>
      <c r="U16" s="8" t="s">
        <v>4</v>
      </c>
      <c r="W16" s="7">
        <v>193000</v>
      </c>
    </row>
    <row r="17" spans="1:23" ht="15" thickBot="1" x14ac:dyDescent="0.35">
      <c r="A17" s="8" t="s">
        <v>4</v>
      </c>
      <c r="B17" s="10" t="s">
        <v>6</v>
      </c>
      <c r="C17" s="7">
        <v>193000</v>
      </c>
      <c r="D17" s="9">
        <v>16</v>
      </c>
      <c r="G17" t="s">
        <v>12</v>
      </c>
      <c r="H17" s="7">
        <v>3159</v>
      </c>
      <c r="I17" s="7">
        <v>44400</v>
      </c>
      <c r="U17" s="4" t="s">
        <v>4</v>
      </c>
      <c r="W17" s="7">
        <v>207000</v>
      </c>
    </row>
    <row r="18" spans="1:23" ht="15" thickBot="1" x14ac:dyDescent="0.35">
      <c r="A18" s="4" t="s">
        <v>4</v>
      </c>
      <c r="B18" s="11" t="s">
        <v>6</v>
      </c>
      <c r="C18" s="7">
        <v>207000</v>
      </c>
      <c r="D18" s="5">
        <v>17</v>
      </c>
      <c r="G18" t="s">
        <v>12</v>
      </c>
      <c r="H18" s="15">
        <v>877</v>
      </c>
      <c r="I18" s="7">
        <v>249000</v>
      </c>
      <c r="U18" s="8" t="s">
        <v>4</v>
      </c>
      <c r="W18" s="7">
        <v>55700</v>
      </c>
    </row>
    <row r="19" spans="1:23" ht="15" thickBot="1" x14ac:dyDescent="0.35">
      <c r="A19" s="8" t="s">
        <v>4</v>
      </c>
      <c r="B19" s="10" t="s">
        <v>6</v>
      </c>
      <c r="C19" s="7">
        <v>55700</v>
      </c>
      <c r="D19" s="9">
        <v>18</v>
      </c>
      <c r="G19" t="s">
        <v>12</v>
      </c>
      <c r="H19" s="7">
        <v>17600</v>
      </c>
      <c r="I19" s="7">
        <v>351000</v>
      </c>
      <c r="U19" s="4" t="s">
        <v>7</v>
      </c>
      <c r="V19" s="7">
        <v>5940</v>
      </c>
      <c r="W19" s="7">
        <v>10500</v>
      </c>
    </row>
    <row r="20" spans="1:23" ht="15" thickBot="1" x14ac:dyDescent="0.35">
      <c r="A20" s="4" t="s">
        <v>4</v>
      </c>
      <c r="B20" s="6" t="s">
        <v>5</v>
      </c>
      <c r="C20" s="7">
        <v>5387</v>
      </c>
      <c r="D20" s="5">
        <v>19</v>
      </c>
      <c r="G20" t="s">
        <v>12</v>
      </c>
      <c r="H20" s="15">
        <v>123</v>
      </c>
      <c r="I20" s="7">
        <v>193000</v>
      </c>
      <c r="U20" s="4" t="s">
        <v>7</v>
      </c>
      <c r="V20" s="7">
        <v>11800</v>
      </c>
      <c r="W20" s="7">
        <v>3689</v>
      </c>
    </row>
    <row r="21" spans="1:23" ht="15" thickBot="1" x14ac:dyDescent="0.35">
      <c r="A21" s="13" t="s">
        <v>7</v>
      </c>
      <c r="B21" s="10" t="s">
        <v>6</v>
      </c>
      <c r="C21" s="7">
        <v>10500</v>
      </c>
      <c r="D21" s="9">
        <v>1</v>
      </c>
      <c r="G21" t="s">
        <v>12</v>
      </c>
      <c r="H21" s="7">
        <v>3532</v>
      </c>
      <c r="I21" s="7">
        <v>207000</v>
      </c>
      <c r="U21" s="4" t="s">
        <v>7</v>
      </c>
      <c r="V21" s="15">
        <v>517</v>
      </c>
      <c r="W21" s="7">
        <v>3674</v>
      </c>
    </row>
    <row r="22" spans="1:23" ht="15" thickBot="1" x14ac:dyDescent="0.35">
      <c r="A22" s="14" t="s">
        <v>7</v>
      </c>
      <c r="B22" s="6" t="s">
        <v>5</v>
      </c>
      <c r="C22" s="7">
        <v>5940</v>
      </c>
      <c r="D22" s="5">
        <v>2</v>
      </c>
      <c r="G22" t="s">
        <v>12</v>
      </c>
      <c r="H22" s="7">
        <v>3969</v>
      </c>
      <c r="I22" s="7">
        <v>55700</v>
      </c>
      <c r="U22" s="4" t="s">
        <v>7</v>
      </c>
      <c r="V22" s="7">
        <v>3277</v>
      </c>
      <c r="W22" s="15">
        <v>824</v>
      </c>
    </row>
    <row r="23" spans="1:23" ht="15" thickBot="1" x14ac:dyDescent="0.35">
      <c r="A23" s="13" t="s">
        <v>7</v>
      </c>
      <c r="B23" s="10" t="s">
        <v>6</v>
      </c>
      <c r="C23" s="7">
        <v>3689</v>
      </c>
      <c r="D23" s="9">
        <v>3</v>
      </c>
      <c r="G23" t="s">
        <v>12</v>
      </c>
      <c r="H23" s="7">
        <v>1308</v>
      </c>
      <c r="U23" s="4" t="s">
        <v>7</v>
      </c>
      <c r="V23" s="7">
        <v>5686</v>
      </c>
      <c r="W23" s="7">
        <v>12300</v>
      </c>
    </row>
    <row r="24" spans="1:23" ht="15" thickBot="1" x14ac:dyDescent="0.35">
      <c r="A24" s="14" t="s">
        <v>7</v>
      </c>
      <c r="B24" s="11" t="s">
        <v>6</v>
      </c>
      <c r="C24" s="7">
        <v>3674</v>
      </c>
      <c r="D24" s="5">
        <v>4</v>
      </c>
      <c r="G24" t="s">
        <v>12</v>
      </c>
      <c r="H24" s="7">
        <v>3999</v>
      </c>
      <c r="U24" s="13" t="s">
        <v>7</v>
      </c>
      <c r="V24" s="7">
        <v>3792</v>
      </c>
      <c r="W24" s="7">
        <v>11200</v>
      </c>
    </row>
    <row r="25" spans="1:23" ht="15" thickBot="1" x14ac:dyDescent="0.35">
      <c r="A25" s="13" t="s">
        <v>7</v>
      </c>
      <c r="B25" s="10" t="s">
        <v>6</v>
      </c>
      <c r="C25" s="15">
        <v>824</v>
      </c>
      <c r="D25" s="9">
        <v>5</v>
      </c>
      <c r="G25" t="s">
        <v>12</v>
      </c>
      <c r="H25" s="7">
        <v>1112</v>
      </c>
      <c r="U25" s="14" t="s">
        <v>7</v>
      </c>
      <c r="V25" s="7">
        <v>6865</v>
      </c>
      <c r="W25" s="7">
        <v>13600</v>
      </c>
    </row>
    <row r="26" spans="1:23" ht="15" thickBot="1" x14ac:dyDescent="0.35">
      <c r="A26" s="14" t="s">
        <v>7</v>
      </c>
      <c r="B26" s="11" t="s">
        <v>6</v>
      </c>
      <c r="C26" s="7">
        <v>12300</v>
      </c>
      <c r="D26" s="5">
        <v>6</v>
      </c>
      <c r="G26" t="s">
        <v>12</v>
      </c>
      <c r="H26" s="15">
        <v>636</v>
      </c>
      <c r="U26" s="13" t="s">
        <v>7</v>
      </c>
      <c r="W26" s="7">
        <v>19600</v>
      </c>
    </row>
    <row r="27" spans="1:23" ht="15" thickBot="1" x14ac:dyDescent="0.35">
      <c r="A27" s="13" t="s">
        <v>7</v>
      </c>
      <c r="B27" s="10" t="s">
        <v>6</v>
      </c>
      <c r="C27" s="7">
        <v>11200</v>
      </c>
      <c r="D27" s="9">
        <v>7</v>
      </c>
      <c r="G27" t="s">
        <v>12</v>
      </c>
      <c r="H27" s="7">
        <v>32600</v>
      </c>
      <c r="U27" s="14" t="s">
        <v>7</v>
      </c>
      <c r="W27" s="7">
        <v>3159</v>
      </c>
    </row>
    <row r="28" spans="1:23" ht="15" thickBot="1" x14ac:dyDescent="0.35">
      <c r="A28" s="14" t="s">
        <v>7</v>
      </c>
      <c r="B28" s="6" t="s">
        <v>5</v>
      </c>
      <c r="C28" s="7">
        <v>11800</v>
      </c>
      <c r="D28" s="5">
        <v>8</v>
      </c>
      <c r="G28" t="s">
        <v>12</v>
      </c>
      <c r="H28" s="7">
        <v>1994</v>
      </c>
      <c r="U28" s="13" t="s">
        <v>7</v>
      </c>
      <c r="W28" s="15">
        <v>877</v>
      </c>
    </row>
    <row r="29" spans="1:23" ht="15" thickBot="1" x14ac:dyDescent="0.35">
      <c r="A29" s="13" t="s">
        <v>7</v>
      </c>
      <c r="B29" s="10" t="s">
        <v>6</v>
      </c>
      <c r="C29" s="7">
        <v>13600</v>
      </c>
      <c r="D29" s="9">
        <v>9</v>
      </c>
      <c r="G29" t="s">
        <v>12</v>
      </c>
      <c r="H29" s="7">
        <v>12500</v>
      </c>
      <c r="U29" s="14" t="s">
        <v>7</v>
      </c>
      <c r="W29" s="7">
        <v>17600</v>
      </c>
    </row>
    <row r="30" spans="1:23" ht="15" thickBot="1" x14ac:dyDescent="0.35">
      <c r="A30" s="14" t="s">
        <v>7</v>
      </c>
      <c r="B30" s="11" t="s">
        <v>6</v>
      </c>
      <c r="C30" s="7">
        <v>19600</v>
      </c>
      <c r="D30" s="5">
        <v>10</v>
      </c>
      <c r="G30" t="s">
        <v>12</v>
      </c>
      <c r="H30" s="7">
        <v>4589</v>
      </c>
      <c r="U30" s="13" t="s">
        <v>7</v>
      </c>
      <c r="W30" s="15">
        <v>123</v>
      </c>
    </row>
    <row r="31" spans="1:23" ht="15" thickBot="1" x14ac:dyDescent="0.35">
      <c r="A31" s="13" t="s">
        <v>7</v>
      </c>
      <c r="B31" s="10" t="s">
        <v>6</v>
      </c>
      <c r="C31" s="7">
        <v>3159</v>
      </c>
      <c r="D31" s="9">
        <v>11</v>
      </c>
      <c r="G31" t="s">
        <v>12</v>
      </c>
      <c r="H31" s="7">
        <v>2403</v>
      </c>
      <c r="U31" s="14" t="s">
        <v>7</v>
      </c>
      <c r="W31" s="7">
        <v>3532</v>
      </c>
    </row>
    <row r="32" spans="1:23" ht="15" thickBot="1" x14ac:dyDescent="0.35">
      <c r="A32" s="14" t="s">
        <v>7</v>
      </c>
      <c r="B32" s="11" t="s">
        <v>6</v>
      </c>
      <c r="C32" s="15">
        <v>877</v>
      </c>
      <c r="D32" s="5">
        <v>12</v>
      </c>
      <c r="G32" t="s">
        <v>12</v>
      </c>
      <c r="H32" s="7">
        <v>5918</v>
      </c>
      <c r="U32" s="13" t="s">
        <v>7</v>
      </c>
      <c r="W32" s="7">
        <v>3969</v>
      </c>
    </row>
    <row r="33" spans="1:23" ht="15" thickBot="1" x14ac:dyDescent="0.35">
      <c r="A33" s="13" t="s">
        <v>7</v>
      </c>
      <c r="B33" s="10" t="s">
        <v>6</v>
      </c>
      <c r="C33" s="7">
        <v>17600</v>
      </c>
      <c r="D33" s="9">
        <v>13</v>
      </c>
      <c r="G33" t="s">
        <v>12</v>
      </c>
      <c r="H33" s="7">
        <v>3936</v>
      </c>
      <c r="U33" s="14" t="s">
        <v>7</v>
      </c>
      <c r="W33" s="7">
        <v>1308</v>
      </c>
    </row>
    <row r="34" spans="1:23" ht="15" thickBot="1" x14ac:dyDescent="0.35">
      <c r="A34" s="14" t="s">
        <v>7</v>
      </c>
      <c r="B34" s="11" t="s">
        <v>6</v>
      </c>
      <c r="C34" s="15">
        <v>123</v>
      </c>
      <c r="D34" s="5">
        <v>14</v>
      </c>
      <c r="G34" t="s">
        <v>12</v>
      </c>
      <c r="H34" s="7">
        <v>16500</v>
      </c>
      <c r="U34" s="13" t="s">
        <v>7</v>
      </c>
      <c r="W34" s="7">
        <v>3999</v>
      </c>
    </row>
    <row r="35" spans="1:23" ht="15" thickBot="1" x14ac:dyDescent="0.35">
      <c r="A35" s="13" t="s">
        <v>7</v>
      </c>
      <c r="B35" s="10" t="s">
        <v>6</v>
      </c>
      <c r="C35" s="7">
        <v>3532</v>
      </c>
      <c r="D35" s="9">
        <v>15</v>
      </c>
      <c r="G35" t="s">
        <v>12</v>
      </c>
      <c r="H35" s="15">
        <v>952</v>
      </c>
      <c r="U35" s="14" t="s">
        <v>7</v>
      </c>
      <c r="W35" s="7">
        <v>1112</v>
      </c>
    </row>
    <row r="36" spans="1:23" ht="15" thickBot="1" x14ac:dyDescent="0.35">
      <c r="A36" s="14" t="s">
        <v>7</v>
      </c>
      <c r="B36" s="6" t="s">
        <v>5</v>
      </c>
      <c r="C36" s="15">
        <v>517</v>
      </c>
      <c r="D36" s="5">
        <v>16</v>
      </c>
      <c r="G36" t="s">
        <v>12</v>
      </c>
      <c r="H36" s="19">
        <v>731</v>
      </c>
      <c r="U36" s="13" t="s">
        <v>7</v>
      </c>
      <c r="W36" s="15">
        <v>636</v>
      </c>
    </row>
    <row r="37" spans="1:23" ht="15" thickBot="1" x14ac:dyDescent="0.35">
      <c r="A37" s="13" t="s">
        <v>7</v>
      </c>
      <c r="B37" s="10" t="s">
        <v>6</v>
      </c>
      <c r="C37" s="7">
        <v>3969</v>
      </c>
      <c r="D37" s="9">
        <v>17</v>
      </c>
      <c r="U37" s="14" t="s">
        <v>7</v>
      </c>
      <c r="W37" s="7">
        <v>32600</v>
      </c>
    </row>
    <row r="38" spans="1:23" ht="15" thickBot="1" x14ac:dyDescent="0.35">
      <c r="A38" s="14" t="s">
        <v>7</v>
      </c>
      <c r="B38" s="11" t="s">
        <v>6</v>
      </c>
      <c r="C38" s="7">
        <v>1308</v>
      </c>
      <c r="D38" s="5">
        <v>18</v>
      </c>
      <c r="G38" t="s">
        <v>8</v>
      </c>
      <c r="H38" s="20">
        <f>AVERAGE(H2:H36)</f>
        <v>6620.0571428571429</v>
      </c>
      <c r="I38" s="20">
        <f>AVERAGE(I2:I36)</f>
        <v>155815.10526315789</v>
      </c>
      <c r="U38" s="13" t="s">
        <v>7</v>
      </c>
      <c r="W38" s="7">
        <v>1994</v>
      </c>
    </row>
    <row r="39" spans="1:23" ht="15" thickBot="1" x14ac:dyDescent="0.35">
      <c r="A39" s="13" t="s">
        <v>7</v>
      </c>
      <c r="B39" s="10" t="s">
        <v>6</v>
      </c>
      <c r="C39" s="7">
        <v>3999</v>
      </c>
      <c r="D39" s="9">
        <v>19</v>
      </c>
      <c r="G39" t="s">
        <v>9</v>
      </c>
      <c r="H39">
        <f>_xlfn.STDEV.S(H2:H36)</f>
        <v>7011.5314176125657</v>
      </c>
      <c r="I39">
        <f>_xlfn.STDEV.S(I2:I22)</f>
        <v>98092.659209372461</v>
      </c>
      <c r="U39" s="14" t="s">
        <v>7</v>
      </c>
      <c r="W39" s="7">
        <v>12500</v>
      </c>
    </row>
    <row r="40" spans="1:23" ht="15" thickBot="1" x14ac:dyDescent="0.35">
      <c r="A40" s="14" t="s">
        <v>7</v>
      </c>
      <c r="B40" s="11" t="s">
        <v>6</v>
      </c>
      <c r="C40" s="7">
        <v>1112</v>
      </c>
      <c r="D40" s="5">
        <v>21</v>
      </c>
      <c r="G40" t="s">
        <v>10</v>
      </c>
      <c r="H40">
        <f>H39/SQRT(35)</f>
        <v>1185.1651219515854</v>
      </c>
      <c r="I40">
        <f>I39/SQRT(19)</f>
        <v>22503.999399833101</v>
      </c>
      <c r="U40" s="13" t="s">
        <v>7</v>
      </c>
      <c r="W40" s="7">
        <v>4589</v>
      </c>
    </row>
    <row r="41" spans="1:23" ht="15" thickBot="1" x14ac:dyDescent="0.35">
      <c r="A41" s="13" t="s">
        <v>7</v>
      </c>
      <c r="B41" s="10" t="s">
        <v>6</v>
      </c>
      <c r="C41" s="15">
        <v>636</v>
      </c>
      <c r="D41" s="9">
        <v>22</v>
      </c>
      <c r="U41" s="14" t="s">
        <v>7</v>
      </c>
      <c r="W41" s="7">
        <v>2403</v>
      </c>
    </row>
    <row r="42" spans="1:23" ht="15" thickBot="1" x14ac:dyDescent="0.35">
      <c r="A42" s="14" t="s">
        <v>7</v>
      </c>
      <c r="B42" s="11" t="s">
        <v>6</v>
      </c>
      <c r="C42" s="7">
        <v>32600</v>
      </c>
      <c r="D42" s="5">
        <v>23</v>
      </c>
      <c r="U42" s="13" t="s">
        <v>7</v>
      </c>
      <c r="W42" s="7">
        <v>5918</v>
      </c>
    </row>
    <row r="43" spans="1:23" ht="15" thickBot="1" x14ac:dyDescent="0.35">
      <c r="A43" s="13" t="s">
        <v>7</v>
      </c>
      <c r="B43" s="12" t="s">
        <v>5</v>
      </c>
      <c r="C43" s="7">
        <v>3277</v>
      </c>
      <c r="D43" s="9">
        <v>24</v>
      </c>
      <c r="U43" s="14" t="s">
        <v>7</v>
      </c>
      <c r="W43" s="7">
        <v>3936</v>
      </c>
    </row>
    <row r="44" spans="1:23" ht="15" thickBot="1" x14ac:dyDescent="0.35">
      <c r="A44" s="14" t="s">
        <v>7</v>
      </c>
      <c r="B44" s="6" t="s">
        <v>5</v>
      </c>
      <c r="C44" s="7">
        <v>5686</v>
      </c>
      <c r="D44" s="5">
        <v>25</v>
      </c>
      <c r="U44" s="13" t="s">
        <v>7</v>
      </c>
      <c r="W44" s="7">
        <v>16500</v>
      </c>
    </row>
    <row r="45" spans="1:23" ht="15" thickBot="1" x14ac:dyDescent="0.35">
      <c r="A45" s="13" t="s">
        <v>7</v>
      </c>
      <c r="B45" s="10" t="s">
        <v>6</v>
      </c>
      <c r="C45" s="7">
        <v>1994</v>
      </c>
      <c r="D45" s="9">
        <v>26</v>
      </c>
      <c r="U45" s="14" t="s">
        <v>7</v>
      </c>
      <c r="W45" s="15">
        <v>952</v>
      </c>
    </row>
    <row r="46" spans="1:23" ht="15" thickBot="1" x14ac:dyDescent="0.35">
      <c r="A46" s="14" t="s">
        <v>7</v>
      </c>
      <c r="B46" s="11" t="s">
        <v>6</v>
      </c>
      <c r="C46" s="7">
        <v>12500</v>
      </c>
      <c r="D46" s="5">
        <v>27</v>
      </c>
      <c r="U46" s="13" t="s">
        <v>7</v>
      </c>
      <c r="W46" s="19">
        <v>731</v>
      </c>
    </row>
    <row r="47" spans="1:23" ht="15" thickBot="1" x14ac:dyDescent="0.35">
      <c r="A47" s="13" t="s">
        <v>7</v>
      </c>
      <c r="B47" s="10" t="s">
        <v>6</v>
      </c>
      <c r="C47" s="7">
        <v>4589</v>
      </c>
      <c r="D47" s="9">
        <v>28</v>
      </c>
      <c r="U47" s="14" t="s">
        <v>7</v>
      </c>
    </row>
    <row r="48" spans="1:23" ht="15" thickBot="1" x14ac:dyDescent="0.35">
      <c r="A48" s="14" t="s">
        <v>7</v>
      </c>
      <c r="B48" s="11" t="s">
        <v>6</v>
      </c>
      <c r="C48" s="7">
        <v>2403</v>
      </c>
      <c r="D48" s="5">
        <v>30</v>
      </c>
      <c r="U48" s="13" t="s">
        <v>7</v>
      </c>
    </row>
    <row r="49" spans="1:21" ht="15" thickBot="1" x14ac:dyDescent="0.35">
      <c r="A49" s="13" t="s">
        <v>7</v>
      </c>
      <c r="B49" s="10" t="s">
        <v>6</v>
      </c>
      <c r="C49" s="7">
        <v>5918</v>
      </c>
      <c r="D49" s="9">
        <v>31</v>
      </c>
      <c r="U49" s="14" t="s">
        <v>7</v>
      </c>
    </row>
    <row r="50" spans="1:21" ht="15" thickBot="1" x14ac:dyDescent="0.35">
      <c r="A50" s="14" t="s">
        <v>7</v>
      </c>
      <c r="B50" s="11" t="s">
        <v>6</v>
      </c>
      <c r="C50" s="7">
        <v>3936</v>
      </c>
      <c r="D50" s="5">
        <v>32</v>
      </c>
      <c r="U50" s="13" t="s">
        <v>7</v>
      </c>
    </row>
    <row r="51" spans="1:21" ht="15" thickBot="1" x14ac:dyDescent="0.35">
      <c r="A51" s="13" t="s">
        <v>7</v>
      </c>
      <c r="B51" s="10" t="s">
        <v>6</v>
      </c>
      <c r="C51" s="7">
        <v>16500</v>
      </c>
      <c r="D51" s="9">
        <v>33</v>
      </c>
      <c r="U51" s="14" t="s">
        <v>7</v>
      </c>
    </row>
    <row r="52" spans="1:21" ht="15" thickBot="1" x14ac:dyDescent="0.35">
      <c r="A52" s="14" t="s">
        <v>7</v>
      </c>
      <c r="B52" s="6" t="s">
        <v>5</v>
      </c>
      <c r="C52" s="7">
        <v>3792</v>
      </c>
      <c r="D52" s="5">
        <v>34</v>
      </c>
      <c r="U52" s="13" t="s">
        <v>7</v>
      </c>
    </row>
    <row r="53" spans="1:21" ht="15" thickBot="1" x14ac:dyDescent="0.35">
      <c r="A53" s="13" t="s">
        <v>7</v>
      </c>
      <c r="B53" s="12" t="s">
        <v>5</v>
      </c>
      <c r="C53" s="7">
        <v>6865</v>
      </c>
      <c r="D53" s="9">
        <v>35</v>
      </c>
      <c r="U53" s="14" t="s">
        <v>7</v>
      </c>
    </row>
    <row r="54" spans="1:21" ht="15" thickBot="1" x14ac:dyDescent="0.35">
      <c r="A54" s="14" t="s">
        <v>7</v>
      </c>
      <c r="B54" s="11" t="s">
        <v>6</v>
      </c>
      <c r="C54" s="15">
        <v>952</v>
      </c>
      <c r="D54" s="5">
        <v>36</v>
      </c>
      <c r="U54" s="13" t="s">
        <v>7</v>
      </c>
    </row>
    <row r="55" spans="1:21" ht="15" thickBot="1" x14ac:dyDescent="0.35">
      <c r="A55" s="16" t="s">
        <v>7</v>
      </c>
      <c r="B55" s="18" t="s">
        <v>6</v>
      </c>
      <c r="C55" s="19">
        <v>731</v>
      </c>
      <c r="D55" s="17">
        <v>37</v>
      </c>
      <c r="U55" s="14" t="s">
        <v>7</v>
      </c>
    </row>
    <row r="56" spans="1:21" ht="15" thickBot="1" x14ac:dyDescent="0.35">
      <c r="U56" s="13" t="s">
        <v>7</v>
      </c>
    </row>
    <row r="57" spans="1:21" ht="15" thickBot="1" x14ac:dyDescent="0.35">
      <c r="U57" s="14" t="s">
        <v>7</v>
      </c>
    </row>
    <row r="58" spans="1:21" ht="15" thickBot="1" x14ac:dyDescent="0.35">
      <c r="U58" s="16" t="s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Lyell Nesbitt</dc:creator>
  <cp:lastModifiedBy>Lyell Nesbitt</cp:lastModifiedBy>
  <dcterms:created xsi:type="dcterms:W3CDTF">2026-04-24T18:36:47Z</dcterms:created>
  <dcterms:modified xsi:type="dcterms:W3CDTF">2026-04-28T00:35:24Z</dcterms:modified>
</cp:coreProperties>
</file>